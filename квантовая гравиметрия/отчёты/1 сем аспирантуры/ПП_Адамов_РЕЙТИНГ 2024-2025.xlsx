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arovAO\Desktop\Adamov_Kirill\отчёты\1 сем аспирантуры\"/>
    </mc:Choice>
  </mc:AlternateContent>
  <bookViews>
    <workbookView xWindow="-120" yWindow="-120" windowWidth="29040" windowHeight="15840" activeTab="2"/>
  </bookViews>
  <sheets>
    <sheet name="Адамов К.Н., м.н.с. лаб. 1.12" sheetId="6" r:id="rId1"/>
    <sheet name="Конф 2024-2025" sheetId="1" r:id="rId2"/>
    <sheet name="Публикации 2024-2025" sheetId="2" r:id="rId3"/>
    <sheet name="Патенты" sheetId="3" r:id="rId4"/>
    <sheet name="Защиты и научное рук-во" sheetId="4" r:id="rId5"/>
    <sheet name="Преподавание" sheetId="5" r:id="rId6"/>
  </sheets>
  <calcPr calcId="152511" iterateDelta="1E-4"/>
</workbook>
</file>

<file path=xl/calcChain.xml><?xml version="1.0" encoding="utf-8"?>
<calcChain xmlns="http://schemas.openxmlformats.org/spreadsheetml/2006/main">
  <c r="B11" i="1" l="1"/>
  <c r="B12" i="1" s="1"/>
  <c r="C13" i="1" l="1"/>
  <c r="B10" i="1" l="1"/>
  <c r="B9" i="1"/>
  <c r="B4" i="1" l="1"/>
  <c r="B5" i="1"/>
  <c r="B6" i="1"/>
  <c r="B7" i="1"/>
  <c r="I3" i="6" l="1"/>
  <c r="C10" i="5"/>
  <c r="C8" i="3"/>
  <c r="D18" i="2"/>
  <c r="B17" i="2"/>
  <c r="B8" i="1" l="1"/>
</calcChain>
</file>

<file path=xl/sharedStrings.xml><?xml version="1.0" encoding="utf-8"?>
<sst xmlns="http://schemas.openxmlformats.org/spreadsheetml/2006/main" count="146" uniqueCount="115">
  <si>
    <t>РП(3)</t>
  </si>
  <si>
    <t>Статус доклада</t>
  </si>
  <si>
    <t>Название конференции</t>
  </si>
  <si>
    <t>Место проведения</t>
  </si>
  <si>
    <t>Ссылка на web-страницу с программой конф. или файл программы конференции</t>
  </si>
  <si>
    <t>Авторы</t>
  </si>
  <si>
    <t>Докладчик</t>
  </si>
  <si>
    <t>Название доклада</t>
  </si>
  <si>
    <t>Статус конференции</t>
  </si>
  <si>
    <t>Международная</t>
  </si>
  <si>
    <t>Дата конференции</t>
  </si>
  <si>
    <t>Устный</t>
  </si>
  <si>
    <t>Физика ультрахолодных атомов</t>
  </si>
  <si>
    <t>г. Новосибирск</t>
  </si>
  <si>
    <t>ИТОГО РП(3):</t>
  </si>
  <si>
    <t>Д.Н. Капуста</t>
  </si>
  <si>
    <t>№ п/п</t>
  </si>
  <si>
    <t>Баллы за статус</t>
  </si>
  <si>
    <t>Кол-во докладчиков А</t>
  </si>
  <si>
    <t>Кол-во аффиляций автора            В</t>
  </si>
  <si>
    <t>г. Санкт-Петербург</t>
  </si>
  <si>
    <t>Стендовый</t>
  </si>
  <si>
    <t>16–18 декабря 2024</t>
  </si>
  <si>
    <t>https://www.isp.nsc.ru/quantum24/index.php?ACTION=part&amp;id_part=3</t>
  </si>
  <si>
    <t>Публикации в рецензируемых периодических журналах из «Белого списка» и других изданиях, имеющих индивидуальный DOI,
исключая электронные препринты (в Arxiv.org и других базах), вышедшие с указанием ИЛФ СО РАН в качестве места работы автора:</t>
  </si>
  <si>
    <t>РП(1)</t>
  </si>
  <si>
    <t>Название статьи</t>
  </si>
  <si>
    <t>Название издания, том, номер, стр., год</t>
  </si>
  <si>
    <t>Двухлетний импакт-фактор
по JCR</t>
  </si>
  <si>
    <t>Двухлетний импакт-фактор по РИНЦ,
если нет JCR</t>
  </si>
  <si>
    <t>Откуда взят импакт-фактор</t>
  </si>
  <si>
    <t>Кол-во аффилиаций подотчётного автора</t>
  </si>
  <si>
    <t>DOI</t>
  </si>
  <si>
    <t>ИТОГО  РП(1):</t>
  </si>
  <si>
    <t>Патенты, ноу-хау, программы для ЭВМ</t>
  </si>
  <si>
    <t>РП(6)</t>
  </si>
  <si>
    <t>Название</t>
  </si>
  <si>
    <t>Тип</t>
  </si>
  <si>
    <t>Номер</t>
  </si>
  <si>
    <t>Дата регистрации
(дд.мм.гггг)</t>
  </si>
  <si>
    <t>ИТОГО:</t>
  </si>
  <si>
    <t>Начисление баллов сотруднику за защиту диссертации (докторская -100 баллов; кандидатская - 60 баллов</t>
  </si>
  <si>
    <t>Название диссертации</t>
  </si>
  <si>
    <t>На степень</t>
  </si>
  <si>
    <t>Дата защиты
(дд.мм.гггг)</t>
  </si>
  <si>
    <t>Место защиты
(Организация, город)</t>
  </si>
  <si>
    <t xml:space="preserve">                  РП(5):  Начисление баллов руководителю/консультанту соискателей ученой степени, аспирантов, дипломников, студентов: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</si>
  <si>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3"/>
        <color theme="1"/>
        <rFont val="Times New Roman"/>
        <family val="1"/>
        <charset val="204"/>
      </rPr>
      <t xml:space="preserve">докторская – 70 в год защиты; </t>
    </r>
  </si>
  <si>
    <r>
      <rPr>
        <sz val="7"/>
        <color theme="1"/>
        <rFont val="Times New Roman"/>
        <family val="1"/>
        <charset val="204"/>
      </rPr>
      <t xml:space="preserve">  </t>
    </r>
    <r>
      <rPr>
        <sz val="13"/>
        <color theme="1"/>
        <rFont val="Times New Roman"/>
        <family val="1"/>
        <charset val="204"/>
      </rPr>
      <t xml:space="preserve">кандидатская – 50 в год защиты;   </t>
    </r>
  </si>
  <si>
    <r>
      <rPr>
        <sz val="7"/>
        <color theme="1"/>
        <rFont val="Times New Roman"/>
        <family val="1"/>
        <charset val="204"/>
      </rPr>
      <t xml:space="preserve">  </t>
    </r>
    <r>
      <rPr>
        <sz val="13"/>
        <color theme="1"/>
        <rFont val="Times New Roman"/>
        <family val="1"/>
        <charset val="204"/>
      </rPr>
      <t xml:space="preserve">аспирант – 20 (за семестр), при условии выполнения учебного плана;   </t>
    </r>
  </si>
  <si>
    <r>
      <rPr>
        <sz val="7"/>
        <color theme="1"/>
        <rFont val="Times New Roman"/>
        <family val="1"/>
        <charset val="204"/>
      </rPr>
      <t xml:space="preserve">  </t>
    </r>
    <r>
      <rPr>
        <sz val="13"/>
        <color theme="1"/>
        <rFont val="Times New Roman"/>
        <family val="1"/>
        <charset val="204"/>
      </rPr>
      <t xml:space="preserve">магистрант/ студент бакалавриата – 10 (за семестр) </t>
    </r>
  </si>
  <si>
    <t xml:space="preserve">  научное руководство курсовой работой - 5 баллов</t>
  </si>
  <si>
    <t>Начисление баллов за чтение лекций, ведение семинаров на базовых кафедрах Института
и Иркутского филиала, кафедре общей физики НГУ и аспирантуре ИЛФ СО РАН:</t>
  </si>
  <si>
    <t>РП(7)</t>
  </si>
  <si>
    <t>Название курса</t>
  </si>
  <si>
    <t>Организация</t>
  </si>
  <si>
    <t>Кафедра</t>
  </si>
  <si>
    <t>Кол-во семестров в году</t>
  </si>
  <si>
    <t>20 баллов/семестр</t>
  </si>
  <si>
    <t>ВСЕРОССИЙСКАЯ</t>
  </si>
  <si>
    <t>ФИО</t>
  </si>
  <si>
    <t>Баллы /статьи РП1</t>
  </si>
  <si>
    <t>Баллы/конф. РП3</t>
  </si>
  <si>
    <t>Баллы/патент РП4</t>
  </si>
  <si>
    <t>Научное рук-во РП5</t>
  </si>
  <si>
    <t>Защита дисс. РП6</t>
  </si>
  <si>
    <t>Чтение лекций РП7</t>
  </si>
  <si>
    <t>Сумма баллов</t>
  </si>
  <si>
    <t>Сумма баллов с учетом повышающего /понижающего коэфф-та.</t>
  </si>
  <si>
    <t>Примечание</t>
  </si>
  <si>
    <t>ИТОГО: 0 баллов</t>
  </si>
  <si>
    <r>
      <rPr>
        <b/>
        <u/>
        <sz val="12"/>
        <color theme="1"/>
        <rFont val="Calibri"/>
        <family val="2"/>
        <charset val="204"/>
        <scheme val="minor"/>
      </rPr>
      <t>Подотчётное лицо:</t>
    </r>
    <r>
      <rPr>
        <b/>
        <sz val="12"/>
        <color theme="1"/>
        <rFont val="Calibri"/>
        <family val="2"/>
        <charset val="204"/>
        <scheme val="minor"/>
      </rPr>
      <t xml:space="preserve"> Адамов К.Н.</t>
    </r>
    <r>
      <rPr>
        <sz val="12"/>
        <color theme="1"/>
        <rFont val="Calibri"/>
        <family val="2"/>
        <charset val="204"/>
        <scheme val="minor"/>
      </rPr>
      <t>, м.н.с. лаб. 1.12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b/>
        <u/>
        <sz val="12"/>
        <color theme="1"/>
        <rFont val="Calibri"/>
        <family val="2"/>
        <charset val="204"/>
        <scheme val="minor"/>
      </rPr>
      <t>Период:</t>
    </r>
    <r>
      <rPr>
        <b/>
        <sz val="12"/>
        <color theme="1"/>
        <rFont val="Calibri"/>
        <family val="2"/>
        <charset val="204"/>
        <scheme val="minor"/>
      </rPr>
      <t xml:space="preserve"> </t>
    </r>
    <r>
      <rPr>
        <sz val="12"/>
        <color theme="1"/>
        <rFont val="Calibri"/>
        <family val="2"/>
        <charset val="204"/>
        <scheme val="minor"/>
      </rPr>
      <t>2023 г.</t>
    </r>
  </si>
  <si>
    <r>
      <rPr>
        <b/>
        <u/>
        <sz val="12"/>
        <color theme="1"/>
        <rFont val="Calibri"/>
        <family val="2"/>
        <charset val="204"/>
        <scheme val="minor"/>
      </rPr>
      <t xml:space="preserve"> Адамов К.Н., м.н.с. лаб. 1.12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b/>
        <u/>
        <sz val="12"/>
        <color theme="1"/>
        <rFont val="Calibri"/>
        <family val="2"/>
        <charset val="204"/>
        <scheme val="minor"/>
      </rPr>
      <t>Период:</t>
    </r>
    <r>
      <rPr>
        <b/>
        <sz val="12"/>
        <color theme="1"/>
        <rFont val="Calibri"/>
        <family val="2"/>
        <charset val="204"/>
        <scheme val="minor"/>
      </rPr>
      <t xml:space="preserve"> </t>
    </r>
    <r>
      <rPr>
        <sz val="12"/>
        <color theme="1"/>
        <rFont val="Calibri"/>
        <family val="2"/>
        <charset val="204"/>
        <scheme val="minor"/>
      </rPr>
      <t>2024-2025 г.</t>
    </r>
  </si>
  <si>
    <t>ЖЭТФ, том 168, вып. 1(7), стр. 47-54 (2025)</t>
  </si>
  <si>
    <t>10.31857/S0044451025070053</t>
  </si>
  <si>
    <t xml:space="preserve">Интерференция ультрахолодных атомов 87Rb в квантовом гравиметре
</t>
  </si>
  <si>
    <t>Интерференция ультрахолодных атомов 87Rb в квантовом гравиметре</t>
  </si>
  <si>
    <t>Год 2024/2025</t>
  </si>
  <si>
    <t>Капуста Д.Н.1, Бонерт А.Э.1, Гончаров А.Н.1,2,3, Адамов К.Н.1,2, Прудников О.Н.1,2, Тайченачев А.В.1,2</t>
  </si>
  <si>
    <t>https://www.isp.nsc.ru/quantum25/index.php?ACTION=part&amp;id_part=4</t>
  </si>
  <si>
    <t>Баллистический квантовый гравиметр с частотой опроса
более 10 Гц</t>
  </si>
  <si>
    <t>22-24 декабря 2025</t>
  </si>
  <si>
    <t>Международная научная студенческкая конференция</t>
  </si>
  <si>
    <t>16 - 22 апреля 2025</t>
  </si>
  <si>
    <t>К.Н. Адамов</t>
  </si>
  <si>
    <t>https://www.nsu.ru/n/issc/collection/</t>
  </si>
  <si>
    <t>Адамов К.Н.1,2, Капуста Д.Н.2</t>
  </si>
  <si>
    <t>Подготовка начального волнового пакета
для квантового интерферометра-гравиметра</t>
  </si>
  <si>
    <t>Адамов К.Н.1,2, Капуста Д.Н.1,2, Бонерт А.Э.1, Гончаров А.Н.1,2,3</t>
  </si>
  <si>
    <t>Молодёжная школа конференция LaserPhys</t>
  </si>
  <si>
    <t>Адамов К.Н.</t>
  </si>
  <si>
    <t>10-12 ноября 2025</t>
  </si>
  <si>
    <t>https://izd-mn.com/83mnnpk25.html</t>
  </si>
  <si>
    <t>21-25 апреля 2025</t>
  </si>
  <si>
    <t>Фундаментальное и прикладное координатно-временное и навигационное обеспечение</t>
  </si>
  <si>
    <t>МЕЖДУНАРОДНАЯ МОЛОДЕЖНАЯ КОНФЕРЕНЦИЯ ПО ЛЮМИНЕСЦЕНЦИИ И ЛАЗЕРНОЙ ФИЗИКЕ</t>
  </si>
  <si>
    <t>г. Иркутск</t>
  </si>
  <si>
    <t>http://llph.ru/program/</t>
  </si>
  <si>
    <t>Метрология пространства и времени</t>
  </si>
  <si>
    <t>24-26 сентября 2025</t>
  </si>
  <si>
    <t>30 июня - 5 июля 2025</t>
  </si>
  <si>
    <t>Капуста Д.Н.1, Бонерт А.Э.1, Гончаров А.Н.1, Адамов К.Н.1, Прудников О.Н.1, Тайченачев А.В.1</t>
  </si>
  <si>
    <t>г. Нижний Новгород</t>
  </si>
  <si>
    <t>прилагается в виде файла "2025 - программа конференции метрология пространства и времени"</t>
  </si>
  <si>
    <t>Д. Н. Капуста a*, А. Э. Бонерт a, А. Н. Гончаров a,b,c, К. Н. Адамов a,b, О. Н. Прудников a,b, А. В. Тайченачев a,b</t>
  </si>
  <si>
    <r>
      <t xml:space="preserve">Интерференция ультрахолодных атомов </t>
    </r>
    <r>
      <rPr>
        <vertAlign val="superscript"/>
        <sz val="10"/>
        <color rgb="FF000000"/>
        <rFont val="Calibri"/>
        <family val="2"/>
        <charset val="204"/>
        <scheme val="minor"/>
      </rPr>
      <t>87</t>
    </r>
    <r>
      <rPr>
        <sz val="10"/>
        <color rgb="FF000000"/>
        <rFont val="Calibri"/>
        <family val="2"/>
        <charset val="204"/>
        <scheme val="minor"/>
      </rPr>
      <t>Rb в квантовом гравиметре</t>
    </r>
  </si>
  <si>
    <t>Пленарный</t>
  </si>
  <si>
    <t>16-17 декабря 2025</t>
  </si>
  <si>
    <t>V научно-практический семинар «Квантовые технологии: квантовая сенсорика»</t>
  </si>
  <si>
    <t>г. Челябинск</t>
  </si>
  <si>
    <t>Всероссийская</t>
  </si>
  <si>
    <t>Прилагается в виде файла "2025 - Сборник тезисов Челябинск"</t>
  </si>
  <si>
    <r>
      <rPr>
        <b/>
        <sz val="10"/>
        <color rgb="FF000000"/>
        <rFont val="Calibri"/>
        <family val="2"/>
        <charset val="204"/>
        <scheme val="minor"/>
      </rPr>
      <t>Д. Н. Капуста</t>
    </r>
    <r>
      <rPr>
        <sz val="10"/>
        <color rgb="FF000000"/>
        <rFont val="Calibri"/>
        <family val="2"/>
        <charset val="204"/>
        <scheme val="minor"/>
      </rPr>
      <t>, А. Э. Бонерт, А. Н. Гончаров, К. Н. Адамов, О. Н. Прудников, А. В. Тайченачев, В. И. Юдин</t>
    </r>
  </si>
  <si>
    <t>https://iaaras.ru/meetings/kvno2025/program/</t>
  </si>
  <si>
    <t>https://www.elibrary.ru/title_profile.asp?id=8682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</si>
</sst>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;[Red]0.000"/>
  </numFmts>
  <fonts count="2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13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62C4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2"/>
      <color rgb="FFFF0000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vertAlign val="superscript"/>
      <sz val="10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C3D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4" fillId="3" borderId="0" xfId="0" applyNumberFormat="1" applyFont="1" applyFill="1"/>
    <xf numFmtId="0" fontId="0" fillId="0" borderId="0" xfId="0" applyAlignment="1">
      <alignment vertical="top"/>
    </xf>
    <xf numFmtId="0" fontId="1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0" xfId="0" applyFill="1"/>
    <xf numFmtId="0" fontId="1" fillId="2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/>
    </xf>
    <xf numFmtId="2" fontId="17" fillId="0" borderId="0" xfId="0" applyNumberFormat="1" applyFont="1"/>
    <xf numFmtId="2" fontId="4" fillId="3" borderId="0" xfId="0" applyNumberFormat="1" applyFont="1" applyFill="1"/>
    <xf numFmtId="0" fontId="11" fillId="0" borderId="0" xfId="0" applyFont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4" fillId="3" borderId="0" xfId="0" applyFont="1" applyFill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11" borderId="0" xfId="0" applyFont="1" applyFill="1"/>
    <xf numFmtId="0" fontId="14" fillId="4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 applyProtection="1">
      <alignment horizontal="center" vertical="center" wrapText="1"/>
      <protection locked="0"/>
    </xf>
    <xf numFmtId="0" fontId="1" fillId="12" borderId="1" xfId="0" applyFont="1" applyFill="1" applyBorder="1" applyAlignment="1" applyProtection="1">
      <alignment horizontal="center" wrapText="1"/>
      <protection locked="0"/>
    </xf>
    <xf numFmtId="0" fontId="22" fillId="0" borderId="1" xfId="0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/>
    <xf numFmtId="0" fontId="0" fillId="0" borderId="0" xfId="0" applyAlignment="1">
      <alignment wrapText="1"/>
    </xf>
    <xf numFmtId="0" fontId="24" fillId="0" borderId="0" xfId="0" applyFont="1"/>
    <xf numFmtId="0" fontId="8" fillId="4" borderId="1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9" fillId="0" borderId="0" xfId="0" applyFont="1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aaras.ru/meetings/kvno2025/program/" TargetMode="External"/><Relationship Id="rId2" Type="http://schemas.openxmlformats.org/officeDocument/2006/relationships/hyperlink" Target="http://llph.ru/program/" TargetMode="External"/><Relationship Id="rId1" Type="http://schemas.openxmlformats.org/officeDocument/2006/relationships/hyperlink" Target="https://www.isp.nsc.ru/quantum24/index.php?ACTION=part&amp;id_part=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zd-mn.com/83mnnpk25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library.ru/title_profile.asp?id=8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"/>
  <sheetViews>
    <sheetView workbookViewId="0">
      <selection activeCell="K15" sqref="K15"/>
    </sheetView>
  </sheetViews>
  <sheetFormatPr defaultRowHeight="15" x14ac:dyDescent="0.25"/>
  <cols>
    <col min="2" max="2" width="19.85546875" customWidth="1"/>
    <col min="3" max="3" width="14.5703125" customWidth="1"/>
    <col min="4" max="4" width="14.140625" customWidth="1"/>
    <col min="5" max="5" width="14.5703125" customWidth="1"/>
    <col min="6" max="6" width="16" customWidth="1"/>
    <col min="7" max="7" width="13.28515625" customWidth="1"/>
    <col min="8" max="8" width="15.28515625" customWidth="1"/>
    <col min="9" max="9" width="12.140625" customWidth="1"/>
    <col min="10" max="10" width="15.28515625" customWidth="1"/>
    <col min="11" max="11" width="16.5703125" customWidth="1"/>
  </cols>
  <sheetData>
    <row r="1" spans="2:11" ht="75" x14ac:dyDescent="0.25">
      <c r="B1" s="54" t="s">
        <v>60</v>
      </c>
      <c r="C1" s="55" t="s">
        <v>61</v>
      </c>
      <c r="D1" s="55" t="s">
        <v>62</v>
      </c>
      <c r="E1" s="55" t="s">
        <v>63</v>
      </c>
      <c r="F1" s="55" t="s">
        <v>64</v>
      </c>
      <c r="G1" s="55" t="s">
        <v>65</v>
      </c>
      <c r="H1" s="55" t="s">
        <v>66</v>
      </c>
      <c r="I1" s="55" t="s">
        <v>67</v>
      </c>
      <c r="J1" s="56" t="s">
        <v>68</v>
      </c>
      <c r="K1" s="55" t="s">
        <v>69</v>
      </c>
    </row>
    <row r="2" spans="2:11" ht="18.75" x14ac:dyDescent="0.25">
      <c r="B2" s="57" t="s">
        <v>90</v>
      </c>
      <c r="C2" s="58">
        <v>3.05</v>
      </c>
      <c r="D2" s="58">
        <v>14.286</v>
      </c>
      <c r="E2" s="58">
        <v>0</v>
      </c>
      <c r="F2" s="58">
        <v>0</v>
      </c>
      <c r="G2" s="58">
        <v>0</v>
      </c>
      <c r="H2" s="58">
        <v>0</v>
      </c>
      <c r="I2" s="58">
        <v>17.34</v>
      </c>
      <c r="J2" s="58"/>
      <c r="K2" s="58"/>
    </row>
    <row r="3" spans="2:11" x14ac:dyDescent="0.25">
      <c r="B3" s="44"/>
      <c r="C3" s="44"/>
      <c r="D3" s="44"/>
      <c r="E3" s="44"/>
      <c r="F3" s="44"/>
      <c r="G3" s="44"/>
      <c r="H3" s="44"/>
      <c r="I3" s="59">
        <f>SUM(C2:H2)</f>
        <v>17.335999999999999</v>
      </c>
      <c r="J3" s="44"/>
      <c r="K3" s="44"/>
    </row>
    <row r="4" spans="2:11" x14ac:dyDescent="0.25">
      <c r="B4" s="44"/>
      <c r="C4" s="44"/>
      <c r="D4" s="44"/>
      <c r="E4" s="44"/>
      <c r="F4" s="44"/>
      <c r="G4" s="44"/>
      <c r="H4" s="44"/>
      <c r="I4" s="44"/>
      <c r="J4" s="44"/>
      <c r="K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13"/>
  <sheetViews>
    <sheetView zoomScale="90" zoomScaleNormal="90" workbookViewId="0">
      <selection activeCell="F12" sqref="F12"/>
    </sheetView>
  </sheetViews>
  <sheetFormatPr defaultRowHeight="15" x14ac:dyDescent="0.25"/>
  <cols>
    <col min="1" max="1" width="8.7109375" style="5"/>
    <col min="2" max="2" width="15.7109375" customWidth="1"/>
    <col min="3" max="3" width="40" customWidth="1"/>
    <col min="4" max="4" width="15.7109375" customWidth="1"/>
    <col min="5" max="5" width="18.5703125" customWidth="1"/>
    <col min="6" max="6" width="28.42578125" customWidth="1"/>
    <col min="7" max="7" width="13.42578125" customWidth="1"/>
    <col min="8" max="8" width="15.42578125" customWidth="1"/>
    <col min="9" max="9" width="42.85546875" bestFit="1" customWidth="1"/>
    <col min="10" max="10" width="25" customWidth="1"/>
    <col min="11" max="11" width="17" customWidth="1"/>
  </cols>
  <sheetData>
    <row r="1" spans="1:171" ht="36" customHeight="1" x14ac:dyDescent="0.25">
      <c r="B1" s="65" t="s">
        <v>71</v>
      </c>
      <c r="C1" s="65"/>
      <c r="D1" s="65"/>
      <c r="E1" s="65"/>
      <c r="F1" s="1"/>
      <c r="G1" s="1"/>
      <c r="H1" s="1"/>
    </row>
    <row r="2" spans="1:171" ht="21.75" customHeight="1" x14ac:dyDescent="0.35"/>
    <row r="3" spans="1:171" ht="69" customHeight="1" x14ac:dyDescent="0.25">
      <c r="A3" s="11" t="s">
        <v>16</v>
      </c>
      <c r="B3" s="10" t="s">
        <v>0</v>
      </c>
      <c r="C3" s="2" t="s">
        <v>7</v>
      </c>
      <c r="D3" s="2" t="s">
        <v>1</v>
      </c>
      <c r="E3" s="2" t="s">
        <v>10</v>
      </c>
      <c r="F3" s="2" t="s">
        <v>2</v>
      </c>
      <c r="G3" s="2" t="s">
        <v>3</v>
      </c>
      <c r="H3" s="2" t="s">
        <v>8</v>
      </c>
      <c r="I3" s="2" t="s">
        <v>4</v>
      </c>
      <c r="J3" s="2" t="s">
        <v>5</v>
      </c>
      <c r="K3" s="6" t="s">
        <v>6</v>
      </c>
      <c r="L3" s="2" t="s">
        <v>17</v>
      </c>
      <c r="M3" s="2" t="s">
        <v>18</v>
      </c>
      <c r="N3" s="2" t="s">
        <v>19</v>
      </c>
    </row>
    <row r="4" spans="1:171" ht="51" x14ac:dyDescent="0.25">
      <c r="A4" s="12">
        <v>1</v>
      </c>
      <c r="B4" s="19">
        <f t="shared" ref="B4:B8" si="0">L4/(M4*N4)</f>
        <v>0.83333333333333337</v>
      </c>
      <c r="C4" s="7" t="s">
        <v>76</v>
      </c>
      <c r="D4" s="7" t="s">
        <v>11</v>
      </c>
      <c r="E4" s="14" t="s">
        <v>22</v>
      </c>
      <c r="F4" s="14" t="s">
        <v>12</v>
      </c>
      <c r="G4" s="7" t="s">
        <v>13</v>
      </c>
      <c r="H4" s="7" t="s">
        <v>59</v>
      </c>
      <c r="I4" s="62" t="s">
        <v>23</v>
      </c>
      <c r="J4" s="7" t="s">
        <v>78</v>
      </c>
      <c r="K4" s="7" t="s">
        <v>15</v>
      </c>
      <c r="L4" s="15">
        <v>10</v>
      </c>
      <c r="M4" s="15">
        <v>6</v>
      </c>
      <c r="N4" s="15">
        <v>2</v>
      </c>
    </row>
    <row r="5" spans="1:171" s="8" customFormat="1" ht="71.25" customHeight="1" x14ac:dyDescent="0.25">
      <c r="A5" s="13">
        <v>2</v>
      </c>
      <c r="B5" s="19">
        <f t="shared" si="0"/>
        <v>0.83333333333333337</v>
      </c>
      <c r="C5" s="7" t="s">
        <v>80</v>
      </c>
      <c r="D5" s="7" t="s">
        <v>11</v>
      </c>
      <c r="E5" s="17" t="s">
        <v>81</v>
      </c>
      <c r="F5" s="17" t="s">
        <v>12</v>
      </c>
      <c r="G5" s="17" t="s">
        <v>13</v>
      </c>
      <c r="H5" s="17" t="s">
        <v>59</v>
      </c>
      <c r="I5" s="20" t="s">
        <v>79</v>
      </c>
      <c r="J5" s="18" t="s">
        <v>78</v>
      </c>
      <c r="K5" s="17" t="s">
        <v>15</v>
      </c>
      <c r="L5" s="16">
        <v>10</v>
      </c>
      <c r="M5" s="16">
        <v>6</v>
      </c>
      <c r="N5" s="16">
        <v>2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</row>
    <row r="6" spans="1:171" s="9" customFormat="1" ht="25.5" x14ac:dyDescent="0.25">
      <c r="A6" s="12">
        <v>3</v>
      </c>
      <c r="B6" s="19">
        <f t="shared" si="0"/>
        <v>2.5</v>
      </c>
      <c r="C6" s="7" t="s">
        <v>87</v>
      </c>
      <c r="D6" s="7" t="s">
        <v>21</v>
      </c>
      <c r="E6" s="7" t="s">
        <v>83</v>
      </c>
      <c r="F6" s="7" t="s">
        <v>82</v>
      </c>
      <c r="G6" s="17" t="s">
        <v>13</v>
      </c>
      <c r="H6" s="17" t="s">
        <v>9</v>
      </c>
      <c r="I6" s="7" t="s">
        <v>85</v>
      </c>
      <c r="J6" s="7" t="s">
        <v>86</v>
      </c>
      <c r="K6" s="17" t="s">
        <v>84</v>
      </c>
      <c r="L6" s="15">
        <v>10</v>
      </c>
      <c r="M6" s="15">
        <v>2</v>
      </c>
      <c r="N6" s="15">
        <v>2</v>
      </c>
    </row>
    <row r="7" spans="1:171" ht="38.25" x14ac:dyDescent="0.25">
      <c r="A7" s="13">
        <v>4</v>
      </c>
      <c r="B7" s="19">
        <f t="shared" si="0"/>
        <v>1.25</v>
      </c>
      <c r="C7" s="26" t="s">
        <v>87</v>
      </c>
      <c r="D7" s="17" t="s">
        <v>11</v>
      </c>
      <c r="E7" s="17" t="s">
        <v>91</v>
      </c>
      <c r="F7" s="17" t="s">
        <v>89</v>
      </c>
      <c r="G7" s="17" t="s">
        <v>13</v>
      </c>
      <c r="H7" s="7" t="s">
        <v>59</v>
      </c>
      <c r="I7" s="62" t="s">
        <v>92</v>
      </c>
      <c r="J7" s="27" t="s">
        <v>88</v>
      </c>
      <c r="K7" s="17" t="s">
        <v>84</v>
      </c>
      <c r="L7" s="16">
        <v>10</v>
      </c>
      <c r="M7" s="16">
        <v>4</v>
      </c>
      <c r="N7" s="16">
        <v>2</v>
      </c>
    </row>
    <row r="8" spans="1:171" ht="55.5" customHeight="1" x14ac:dyDescent="0.25">
      <c r="A8" s="12">
        <v>5</v>
      </c>
      <c r="B8" s="19">
        <f t="shared" si="0"/>
        <v>0.83333333333333337</v>
      </c>
      <c r="C8" s="28" t="s">
        <v>76</v>
      </c>
      <c r="D8" s="7" t="s">
        <v>11</v>
      </c>
      <c r="E8" s="7" t="s">
        <v>93</v>
      </c>
      <c r="F8" s="7" t="s">
        <v>94</v>
      </c>
      <c r="G8" s="7" t="s">
        <v>20</v>
      </c>
      <c r="H8" s="64" t="s">
        <v>59</v>
      </c>
      <c r="I8" s="62" t="s">
        <v>113</v>
      </c>
      <c r="J8" s="53" t="s">
        <v>78</v>
      </c>
      <c r="K8" s="7" t="s">
        <v>15</v>
      </c>
      <c r="L8" s="15">
        <v>10</v>
      </c>
      <c r="M8" s="15">
        <v>6</v>
      </c>
      <c r="N8" s="15">
        <v>2</v>
      </c>
    </row>
    <row r="9" spans="1:171" s="9" customFormat="1" ht="58.5" customHeight="1" x14ac:dyDescent="0.25">
      <c r="A9" s="12">
        <v>6</v>
      </c>
      <c r="B9" s="19">
        <f t="shared" ref="B9" si="1">L9/(M9*N9)</f>
        <v>1.25</v>
      </c>
      <c r="C9" s="28" t="s">
        <v>76</v>
      </c>
      <c r="D9" s="7" t="s">
        <v>11</v>
      </c>
      <c r="E9" s="7" t="s">
        <v>100</v>
      </c>
      <c r="F9" s="7" t="s">
        <v>95</v>
      </c>
      <c r="G9" s="7" t="s">
        <v>96</v>
      </c>
      <c r="H9" s="7" t="s">
        <v>9</v>
      </c>
      <c r="I9" s="62" t="s">
        <v>97</v>
      </c>
      <c r="J9" s="53" t="s">
        <v>78</v>
      </c>
      <c r="K9" s="7" t="s">
        <v>15</v>
      </c>
      <c r="L9" s="15">
        <v>15</v>
      </c>
      <c r="M9" s="15">
        <v>6</v>
      </c>
      <c r="N9" s="15">
        <v>2</v>
      </c>
    </row>
    <row r="10" spans="1:171" ht="51" x14ac:dyDescent="0.25">
      <c r="A10" s="12">
        <v>6</v>
      </c>
      <c r="B10" s="19">
        <f t="shared" ref="B10:B11" si="2">L10/(M10*N10)</f>
        <v>2.5</v>
      </c>
      <c r="C10" s="28" t="s">
        <v>76</v>
      </c>
      <c r="D10" s="7" t="s">
        <v>11</v>
      </c>
      <c r="E10" s="7" t="s">
        <v>99</v>
      </c>
      <c r="F10" s="7" t="s">
        <v>98</v>
      </c>
      <c r="G10" s="7" t="s">
        <v>102</v>
      </c>
      <c r="H10" s="7" t="s">
        <v>9</v>
      </c>
      <c r="I10" s="63" t="s">
        <v>103</v>
      </c>
      <c r="J10" s="53" t="s">
        <v>101</v>
      </c>
      <c r="K10" s="7" t="s">
        <v>15</v>
      </c>
      <c r="L10" s="15">
        <v>15</v>
      </c>
      <c r="M10" s="15">
        <v>6</v>
      </c>
      <c r="N10" s="15">
        <v>1</v>
      </c>
    </row>
    <row r="11" spans="1:171" ht="51" x14ac:dyDescent="0.25">
      <c r="A11" s="12">
        <v>7</v>
      </c>
      <c r="B11" s="19">
        <f t="shared" si="2"/>
        <v>4.2857142857142856</v>
      </c>
      <c r="C11" s="28" t="s">
        <v>105</v>
      </c>
      <c r="D11" s="7" t="s">
        <v>106</v>
      </c>
      <c r="E11" s="7" t="s">
        <v>107</v>
      </c>
      <c r="F11" s="7" t="s">
        <v>108</v>
      </c>
      <c r="G11" s="17" t="s">
        <v>109</v>
      </c>
      <c r="H11" s="7" t="s">
        <v>110</v>
      </c>
      <c r="I11" s="7" t="s">
        <v>111</v>
      </c>
      <c r="J11" s="28" t="s">
        <v>112</v>
      </c>
      <c r="K11" s="7" t="s">
        <v>15</v>
      </c>
      <c r="L11" s="15">
        <v>30</v>
      </c>
      <c r="M11" s="15">
        <v>7</v>
      </c>
      <c r="N11" s="15">
        <v>1</v>
      </c>
    </row>
    <row r="12" spans="1:171" ht="18.75" x14ac:dyDescent="0.25">
      <c r="A12" s="21"/>
      <c r="B12" s="29">
        <f>SUM(B4:B11)</f>
        <v>14.285714285714285</v>
      </c>
      <c r="C12" s="22"/>
      <c r="D12" s="22"/>
      <c r="E12" s="22"/>
      <c r="F12" s="22"/>
      <c r="G12" s="22"/>
      <c r="H12" s="22"/>
      <c r="I12" s="23"/>
      <c r="J12" s="24"/>
      <c r="K12" s="22"/>
      <c r="L12" s="25"/>
      <c r="M12" s="25"/>
      <c r="N12" s="25"/>
    </row>
    <row r="13" spans="1:171" ht="17.25" x14ac:dyDescent="0.3">
      <c r="B13" s="3" t="s">
        <v>14</v>
      </c>
      <c r="C13" s="4">
        <f>SUM(B4:B11)</f>
        <v>14.285714285714285</v>
      </c>
    </row>
  </sheetData>
  <mergeCells count="1">
    <mergeCell ref="B1:E1"/>
  </mergeCells>
  <hyperlinks>
    <hyperlink ref="I4" r:id="rId1"/>
    <hyperlink ref="I9" r:id="rId2"/>
    <hyperlink ref="I8" r:id="rId3"/>
    <hyperlink ref="I7" r:id="rId4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I19" sqref="I19"/>
    </sheetView>
  </sheetViews>
  <sheetFormatPr defaultRowHeight="15" x14ac:dyDescent="0.25"/>
  <cols>
    <col min="1" max="1" width="4.140625" customWidth="1"/>
    <col min="2" max="2" width="7.42578125" customWidth="1"/>
    <col min="3" max="3" width="41.7109375" customWidth="1"/>
    <col min="4" max="4" width="21.7109375" customWidth="1"/>
    <col min="5" max="5" width="30.28515625" customWidth="1"/>
    <col min="6" max="6" width="11.140625" customWidth="1"/>
    <col min="7" max="7" width="11.42578125" customWidth="1"/>
    <col min="8" max="8" width="23.5703125" customWidth="1"/>
    <col min="9" max="9" width="12.28515625" customWidth="1"/>
    <col min="10" max="10" width="36.5703125" customWidth="1"/>
    <col min="11" max="11" width="9.140625" customWidth="1"/>
  </cols>
  <sheetData>
    <row r="1" spans="1:10" ht="50.25" customHeight="1" x14ac:dyDescent="0.25">
      <c r="A1" s="65" t="s">
        <v>72</v>
      </c>
      <c r="B1" s="65"/>
      <c r="C1" s="65"/>
      <c r="D1" s="65"/>
      <c r="E1" s="65"/>
      <c r="F1" s="65"/>
      <c r="G1" s="65"/>
      <c r="H1" s="65"/>
      <c r="I1" s="65"/>
    </row>
    <row r="2" spans="1:10" ht="27" customHeight="1" x14ac:dyDescent="0.25">
      <c r="A2" s="66" t="s">
        <v>24</v>
      </c>
      <c r="B2" s="66"/>
      <c r="C2" s="66"/>
      <c r="D2" s="66"/>
      <c r="E2" s="66"/>
      <c r="F2" s="66"/>
      <c r="G2" s="66"/>
      <c r="H2" s="66"/>
    </row>
    <row r="5" spans="1:10" ht="63.75" x14ac:dyDescent="0.25">
      <c r="B5" s="30" t="s">
        <v>25</v>
      </c>
      <c r="C5" s="30" t="s">
        <v>26</v>
      </c>
      <c r="D5" s="30" t="s">
        <v>27</v>
      </c>
      <c r="E5" s="30" t="s">
        <v>5</v>
      </c>
      <c r="F5" s="31" t="s">
        <v>28</v>
      </c>
      <c r="G5" s="31" t="s">
        <v>29</v>
      </c>
      <c r="H5" s="31" t="s">
        <v>30</v>
      </c>
      <c r="I5" s="31" t="s">
        <v>31</v>
      </c>
      <c r="J5" s="32" t="s">
        <v>32</v>
      </c>
    </row>
    <row r="6" spans="1:10" ht="15.75" x14ac:dyDescent="0.25">
      <c r="B6" s="30"/>
      <c r="C6" s="30"/>
      <c r="D6" s="30"/>
      <c r="E6" s="30"/>
      <c r="F6" s="31"/>
      <c r="G6" s="31"/>
      <c r="H6" s="31"/>
      <c r="I6" s="31"/>
      <c r="J6" s="32"/>
    </row>
    <row r="7" spans="1:10" ht="15.75" x14ac:dyDescent="0.25">
      <c r="B7" s="30"/>
      <c r="C7" s="30"/>
      <c r="D7" s="30"/>
      <c r="E7" s="30"/>
      <c r="F7" s="31"/>
      <c r="G7" s="31"/>
      <c r="H7" s="31"/>
      <c r="I7" s="31"/>
      <c r="J7" s="32"/>
    </row>
    <row r="8" spans="1:10" ht="60" x14ac:dyDescent="0.25">
      <c r="B8" s="33">
        <v>3.05</v>
      </c>
      <c r="C8" s="34" t="s">
        <v>75</v>
      </c>
      <c r="D8" s="35" t="s">
        <v>73</v>
      </c>
      <c r="E8" s="34" t="s">
        <v>104</v>
      </c>
      <c r="F8" s="33"/>
      <c r="G8" s="33">
        <v>0.61</v>
      </c>
      <c r="H8" s="20" t="s">
        <v>114</v>
      </c>
      <c r="I8" s="13">
        <v>2</v>
      </c>
      <c r="J8" s="21" t="s">
        <v>74</v>
      </c>
    </row>
    <row r="9" spans="1:10" x14ac:dyDescent="0.25">
      <c r="B9" s="33"/>
      <c r="C9" s="34"/>
      <c r="D9" s="35"/>
      <c r="E9" s="34"/>
      <c r="F9" s="36"/>
      <c r="G9" s="33"/>
      <c r="H9" s="20"/>
      <c r="I9" s="13"/>
      <c r="J9" s="35"/>
    </row>
    <row r="10" spans="1:10" x14ac:dyDescent="0.25">
      <c r="B10" s="33"/>
      <c r="C10" s="34"/>
      <c r="D10" s="35"/>
      <c r="E10" s="34"/>
      <c r="F10" s="36"/>
      <c r="G10" s="33"/>
      <c r="H10" s="35"/>
      <c r="I10" s="13"/>
      <c r="J10" s="35"/>
    </row>
    <row r="11" spans="1:10" x14ac:dyDescent="0.25">
      <c r="B11" s="33"/>
      <c r="C11" s="34"/>
      <c r="D11" s="35"/>
      <c r="E11" s="34"/>
      <c r="F11" s="36"/>
      <c r="G11" s="33"/>
      <c r="H11" s="35"/>
      <c r="I11" s="13"/>
      <c r="J11" s="35"/>
    </row>
    <row r="12" spans="1:10" x14ac:dyDescent="0.25">
      <c r="B12" s="33"/>
      <c r="C12" s="34"/>
      <c r="D12" s="35"/>
      <c r="E12" s="34"/>
      <c r="F12" s="36"/>
      <c r="G12" s="33"/>
      <c r="H12" s="35"/>
      <c r="I12" s="13"/>
      <c r="J12" s="35"/>
    </row>
    <row r="13" spans="1:10" x14ac:dyDescent="0.25">
      <c r="B13" s="33"/>
      <c r="C13" s="34"/>
      <c r="D13" s="35"/>
      <c r="E13" s="34"/>
      <c r="F13" s="36"/>
      <c r="G13" s="33"/>
      <c r="H13" s="35"/>
      <c r="I13" s="13"/>
      <c r="J13" s="35"/>
    </row>
    <row r="14" spans="1:10" x14ac:dyDescent="0.25">
      <c r="B14" s="33"/>
      <c r="C14" s="34"/>
      <c r="D14" s="35"/>
      <c r="E14" s="34"/>
      <c r="F14" s="36"/>
      <c r="G14" s="33"/>
      <c r="H14" s="35"/>
      <c r="I14" s="13"/>
      <c r="J14" s="35"/>
    </row>
    <row r="15" spans="1:10" x14ac:dyDescent="0.25">
      <c r="B15" s="33"/>
      <c r="C15" s="34"/>
      <c r="D15" s="35"/>
      <c r="E15" s="34"/>
      <c r="F15" s="36"/>
      <c r="G15" s="33"/>
      <c r="H15" s="35"/>
      <c r="I15" s="13"/>
      <c r="J15" s="35"/>
    </row>
    <row r="16" spans="1:10" x14ac:dyDescent="0.25">
      <c r="B16" s="33"/>
      <c r="C16" s="34"/>
      <c r="D16" s="35"/>
      <c r="E16" s="34"/>
      <c r="F16" s="33"/>
      <c r="G16" s="33"/>
      <c r="H16" s="35"/>
      <c r="I16" s="13"/>
      <c r="J16" s="35"/>
    </row>
    <row r="17" spans="2:4" ht="15.75" x14ac:dyDescent="0.25">
      <c r="B17" s="37">
        <f>SUM(B8:B16)</f>
        <v>3.05</v>
      </c>
    </row>
    <row r="18" spans="2:4" ht="17.25" x14ac:dyDescent="0.3">
      <c r="C18" s="3" t="s">
        <v>33</v>
      </c>
      <c r="D18" s="38">
        <f>SUM(B8:B16)</f>
        <v>3.05</v>
      </c>
    </row>
  </sheetData>
  <mergeCells count="2">
    <mergeCell ref="A1:I1"/>
    <mergeCell ref="A2:H2"/>
  </mergeCells>
  <hyperlinks>
    <hyperlink ref="H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workbookViewId="0">
      <selection activeCell="G6" sqref="G6"/>
    </sheetView>
  </sheetViews>
  <sheetFormatPr defaultRowHeight="15" x14ac:dyDescent="0.25"/>
  <cols>
    <col min="2" max="2" width="8.140625" customWidth="1"/>
    <col min="3" max="3" width="40" customWidth="1"/>
    <col min="4" max="4" width="16.28515625" customWidth="1"/>
    <col min="5" max="5" width="32.140625" customWidth="1"/>
    <col min="6" max="6" width="23.7109375" customWidth="1"/>
    <col min="7" max="7" width="17.42578125" customWidth="1"/>
  </cols>
  <sheetData>
    <row r="2" spans="1:7" ht="18.75" x14ac:dyDescent="0.3">
      <c r="A2" s="39" t="s">
        <v>34</v>
      </c>
    </row>
    <row r="4" spans="1:7" ht="47.25" x14ac:dyDescent="0.25">
      <c r="B4" s="40" t="s">
        <v>35</v>
      </c>
      <c r="C4" s="41" t="s">
        <v>36</v>
      </c>
      <c r="D4" s="41" t="s">
        <v>37</v>
      </c>
      <c r="E4" s="41" t="s">
        <v>5</v>
      </c>
      <c r="F4" s="41" t="s">
        <v>38</v>
      </c>
      <c r="G4" s="41" t="s">
        <v>39</v>
      </c>
    </row>
    <row r="5" spans="1:7" x14ac:dyDescent="0.25">
      <c r="B5" s="13"/>
      <c r="C5" s="34"/>
      <c r="D5" s="35"/>
      <c r="E5" s="42"/>
      <c r="F5" s="35"/>
      <c r="G5" s="43"/>
    </row>
    <row r="6" spans="1:7" x14ac:dyDescent="0.25">
      <c r="B6" s="44"/>
      <c r="C6" s="45"/>
      <c r="D6" s="13"/>
      <c r="E6" s="44"/>
      <c r="F6" s="13"/>
      <c r="G6" s="43"/>
    </row>
    <row r="8" spans="1:7" ht="17.25" x14ac:dyDescent="0.3">
      <c r="B8" s="1" t="s">
        <v>40</v>
      </c>
      <c r="C8" s="46">
        <f>SUM(B5:B6)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D26" sqref="D26"/>
    </sheetView>
  </sheetViews>
  <sheetFormatPr defaultRowHeight="15" x14ac:dyDescent="0.25"/>
  <cols>
    <col min="2" max="2" width="12.140625" customWidth="1"/>
    <col min="3" max="3" width="53.42578125" customWidth="1"/>
    <col min="4" max="4" width="23.140625" customWidth="1"/>
    <col min="5" max="5" width="14.85546875" customWidth="1"/>
    <col min="6" max="6" width="47" customWidth="1"/>
  </cols>
  <sheetData>
    <row r="2" spans="1:6" ht="16.5" x14ac:dyDescent="0.25">
      <c r="A2" s="68" t="s">
        <v>41</v>
      </c>
      <c r="B2" s="68"/>
      <c r="C2" s="68"/>
      <c r="D2" s="68"/>
    </row>
    <row r="4" spans="1:6" ht="31.5" x14ac:dyDescent="0.25">
      <c r="B4" s="47" t="s">
        <v>35</v>
      </c>
      <c r="C4" s="48" t="s">
        <v>42</v>
      </c>
      <c r="D4" s="48" t="s">
        <v>43</v>
      </c>
      <c r="E4" s="48" t="s">
        <v>44</v>
      </c>
      <c r="F4" s="48" t="s">
        <v>45</v>
      </c>
    </row>
    <row r="5" spans="1:6" x14ac:dyDescent="0.25">
      <c r="B5" s="13"/>
      <c r="C5" s="34"/>
      <c r="D5" s="35"/>
      <c r="E5" s="43"/>
      <c r="F5" s="35"/>
    </row>
    <row r="10" spans="1:6" ht="15.75" x14ac:dyDescent="0.25">
      <c r="B10" s="49"/>
    </row>
    <row r="12" spans="1:6" ht="17.25" x14ac:dyDescent="0.3">
      <c r="A12" s="3" t="s">
        <v>46</v>
      </c>
    </row>
    <row r="14" spans="1:6" ht="16.5" x14ac:dyDescent="0.25">
      <c r="A14" s="69" t="s">
        <v>47</v>
      </c>
      <c r="B14" s="69"/>
      <c r="C14" s="69"/>
    </row>
    <row r="15" spans="1:6" ht="16.5" x14ac:dyDescent="0.25">
      <c r="A15" s="70" t="s">
        <v>48</v>
      </c>
      <c r="B15" s="70"/>
      <c r="C15" s="70"/>
    </row>
    <row r="16" spans="1:6" ht="16.5" x14ac:dyDescent="0.25">
      <c r="A16" s="70" t="s">
        <v>49</v>
      </c>
      <c r="B16" s="70"/>
      <c r="C16" s="70"/>
    </row>
    <row r="17" spans="1:3" ht="16.5" x14ac:dyDescent="0.25">
      <c r="A17" s="70" t="s">
        <v>50</v>
      </c>
      <c r="B17" s="70"/>
      <c r="C17" s="70"/>
    </row>
    <row r="18" spans="1:3" ht="16.5" x14ac:dyDescent="0.25">
      <c r="A18" s="67" t="s">
        <v>51</v>
      </c>
      <c r="B18" s="67"/>
      <c r="C18" s="67"/>
    </row>
    <row r="22" spans="1:3" x14ac:dyDescent="0.25">
      <c r="C22" s="60"/>
    </row>
    <row r="23" spans="1:3" ht="21" x14ac:dyDescent="0.35">
      <c r="C23" s="61" t="s">
        <v>70</v>
      </c>
    </row>
  </sheetData>
  <mergeCells count="6">
    <mergeCell ref="A18:C18"/>
    <mergeCell ref="A2:D2"/>
    <mergeCell ref="A14:C14"/>
    <mergeCell ref="A15:C15"/>
    <mergeCell ref="A16:C16"/>
    <mergeCell ref="A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"/>
  <sheetViews>
    <sheetView workbookViewId="0">
      <selection activeCell="E9" sqref="E9"/>
    </sheetView>
  </sheetViews>
  <sheetFormatPr defaultRowHeight="15" x14ac:dyDescent="0.25"/>
  <cols>
    <col min="2" max="2" width="8.5703125" customWidth="1"/>
    <col min="3" max="3" width="30.85546875" customWidth="1"/>
    <col min="4" max="4" width="17.7109375" customWidth="1"/>
    <col min="5" max="5" width="14.7109375" customWidth="1"/>
    <col min="6" max="6" width="19.140625" customWidth="1"/>
    <col min="7" max="7" width="17.85546875" customWidth="1"/>
    <col min="8" max="8" width="17.7109375" customWidth="1"/>
  </cols>
  <sheetData>
    <row r="2" spans="1:15" ht="15.75" x14ac:dyDescent="0.25">
      <c r="A2" s="71" t="s">
        <v>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4" spans="1:15" ht="31.5" x14ac:dyDescent="0.25">
      <c r="B4" s="50" t="s">
        <v>53</v>
      </c>
      <c r="C4" s="51" t="s">
        <v>54</v>
      </c>
      <c r="D4" s="51" t="s">
        <v>55</v>
      </c>
      <c r="E4" s="51" t="s">
        <v>56</v>
      </c>
      <c r="F4" s="51" t="s">
        <v>57</v>
      </c>
      <c r="G4" s="51" t="s">
        <v>58</v>
      </c>
      <c r="H4" s="51" t="s">
        <v>77</v>
      </c>
    </row>
    <row r="5" spans="1:15" x14ac:dyDescent="0.25">
      <c r="B5" s="35"/>
      <c r="C5" s="34"/>
      <c r="D5" s="35"/>
      <c r="E5" s="35"/>
      <c r="F5" s="35"/>
      <c r="G5" s="35"/>
      <c r="H5" s="35">
        <v>2024</v>
      </c>
    </row>
    <row r="6" spans="1:15" x14ac:dyDescent="0.25">
      <c r="B6" s="35"/>
      <c r="C6" s="34"/>
      <c r="D6" s="35"/>
      <c r="E6" s="35"/>
      <c r="F6" s="35"/>
      <c r="G6" s="35"/>
      <c r="H6" s="35">
        <v>2025</v>
      </c>
    </row>
    <row r="7" spans="1:15" x14ac:dyDescent="0.25">
      <c r="B7" s="35"/>
      <c r="C7" s="34"/>
      <c r="D7" s="35"/>
      <c r="E7" s="35"/>
      <c r="F7" s="35"/>
      <c r="G7" s="35"/>
      <c r="H7" s="35"/>
    </row>
    <row r="8" spans="1:15" x14ac:dyDescent="0.25">
      <c r="B8" s="35"/>
      <c r="C8" s="34"/>
      <c r="D8" s="35"/>
      <c r="E8" s="35"/>
      <c r="F8" s="35"/>
      <c r="G8" s="35"/>
      <c r="H8" s="35"/>
    </row>
    <row r="10" spans="1:15" ht="17.25" x14ac:dyDescent="0.3">
      <c r="B10" s="1" t="s">
        <v>40</v>
      </c>
      <c r="C10" s="52">
        <f>SUM(B5:B8)</f>
        <v>0</v>
      </c>
    </row>
  </sheetData>
  <mergeCells count="1"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Адамов К.Н., м.н.с. лаб. 1.12</vt:lpstr>
      <vt:lpstr>Конф 2024-2025</vt:lpstr>
      <vt:lpstr>Публикации 2024-2025</vt:lpstr>
      <vt:lpstr>Патенты</vt:lpstr>
      <vt:lpstr>Защиты и научное рук-во</vt:lpstr>
      <vt:lpstr>Преподавание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Argus</dc:creator>
  <cp:lastModifiedBy>Макаров Антон Олегович</cp:lastModifiedBy>
  <dcterms:created xsi:type="dcterms:W3CDTF">2025-03-06T02:21:55Z</dcterms:created>
  <dcterms:modified xsi:type="dcterms:W3CDTF">2026-02-03T12:38:40Z</dcterms:modified>
</cp:coreProperties>
</file>